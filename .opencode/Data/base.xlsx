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tos\all-well-dashboard\.opencode\Data\"/>
    </mc:Choice>
  </mc:AlternateContent>
  <bookViews>
    <workbookView xWindow="0" yWindow="0" windowWidth="28800" windowHeight="12180"/>
  </bookViews>
  <sheets>
    <sheet name="CONTROLE REDUÇÃO" sheetId="2" r:id="rId1"/>
  </sheets>
  <calcPr calcId="162913"/>
</workbook>
</file>

<file path=xl/calcChain.xml><?xml version="1.0" encoding="utf-8"?>
<calcChain xmlns="http://schemas.openxmlformats.org/spreadsheetml/2006/main">
  <c r="O8" i="2" l="1"/>
  <c r="P8" i="2" s="1"/>
  <c r="Q8" i="2" s="1"/>
  <c r="O9" i="2"/>
  <c r="P9" i="2" s="1"/>
  <c r="Q9" i="2" s="1"/>
  <c r="O12" i="2" l="1"/>
  <c r="P12" i="2" s="1"/>
  <c r="Q12" i="2" s="1"/>
  <c r="O11" i="2"/>
  <c r="P11" i="2" s="1"/>
  <c r="Q11" i="2" s="1"/>
  <c r="O10" i="2"/>
  <c r="P10" i="2" s="1"/>
  <c r="Q10" i="2" s="1"/>
  <c r="O7" i="2"/>
  <c r="P7" i="2" s="1"/>
  <c r="Q7" i="2" s="1"/>
  <c r="O6" i="2"/>
  <c r="P6" i="2" s="1"/>
  <c r="Q6" i="2" s="1"/>
  <c r="O5" i="2"/>
  <c r="P5" i="2" s="1"/>
  <c r="Q5" i="2" s="1"/>
  <c r="O4" i="2"/>
  <c r="P4" i="2" s="1"/>
  <c r="Q4" i="2" s="1"/>
  <c r="O3" i="2"/>
  <c r="P3" i="2" s="1"/>
  <c r="Q3" i="2" s="1"/>
  <c r="O2" i="2"/>
  <c r="P2" i="2" s="1"/>
  <c r="Q2" i="2" s="1"/>
</calcChain>
</file>

<file path=xl/comments1.xml><?xml version="1.0" encoding="utf-8"?>
<comments xmlns="http://schemas.openxmlformats.org/spreadsheetml/2006/main">
  <authors>
    <author>Dikma Digital4</author>
    <author>tc={B27567A7-3DB4-404A-AE54-F8DE46056106}</author>
    <author>tc={02FFB14C-105D-41B7-98C3-934E7ADBECF8}</author>
    <author>tc={8DA3BE55-CEDE-4E29-876F-A9F6F09E8458}</author>
  </authors>
  <commentList>
    <comment ref="B1" authorId="0" shapeId="0">
      <text>
        <r>
          <rPr>
            <b/>
            <sz val="9"/>
            <color indexed="81"/>
            <rFont val="Segoe UI"/>
            <charset val="1"/>
          </rPr>
          <t>Dikma Digital4:</t>
        </r>
        <r>
          <rPr>
            <sz val="9"/>
            <color indexed="81"/>
            <rFont val="Segoe UI"/>
            <charset val="1"/>
          </rPr>
          <t xml:space="preserve">
FORMULARIO 1: ALTO FORNO E UTILIDADES
FORMALRIO 2: COQUERIA E SINTERIZAÇÃO</t>
        </r>
      </text>
    </comment>
    <comment ref="K1" authorId="1" shapeId="0">
      <text>
        <r>
          <rPr>
            <sz val="11"/>
            <color rgb="FF000000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Atualizar toda semana</t>
        </r>
      </text>
    </comment>
    <comment ref="L1" authorId="2" shapeId="0">
      <text>
        <r>
          <rPr>
            <sz val="11"/>
            <color rgb="FF000000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Atualizar sempre que alterar</t>
        </r>
      </text>
    </comment>
    <comment ref="N1" authorId="3" shapeId="0">
      <text>
        <r>
          <rPr>
            <sz val="11"/>
            <color rgb="FF000000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Atualizar sempre que realizar exames</t>
        </r>
      </text>
    </comment>
  </commentList>
</comments>
</file>

<file path=xl/sharedStrings.xml><?xml version="1.0" encoding="utf-8"?>
<sst xmlns="http://schemas.openxmlformats.org/spreadsheetml/2006/main" count="95" uniqueCount="63">
  <si>
    <t>PIS</t>
  </si>
  <si>
    <t>CPF</t>
  </si>
  <si>
    <t>AJUDANTE</t>
  </si>
  <si>
    <t>ARCELOR MITTAL ALTO FORNO</t>
  </si>
  <si>
    <t>ABIMAEL ASSIS SENA</t>
  </si>
  <si>
    <t>ARCELOR MITTAL COQUERIA PATIO</t>
  </si>
  <si>
    <t>ARCELOR MITTAL SINTERIZAÇÃO</t>
  </si>
  <si>
    <t>ARCELOR MITTAL COQUERIA BATERIA</t>
  </si>
  <si>
    <t>ADAO PEREIRA DE JESUS</t>
  </si>
  <si>
    <t>ADEMAR CARDOSO DURAES</t>
  </si>
  <si>
    <t>SUPERVISOR DE OPERAÇÕES</t>
  </si>
  <si>
    <t>ARCELOR MITTAL UTILIDADE</t>
  </si>
  <si>
    <t>ADEMIR FLORENCIO DE OLIVEIRA</t>
  </si>
  <si>
    <t>ADIEL ALVES DA SILVA</t>
  </si>
  <si>
    <t>ADILSON PRATES ARAUJO</t>
  </si>
  <si>
    <t>ADOLFFO DUTRA PEREIRA</t>
  </si>
  <si>
    <t>ADOLFO GERALDO DE MOURA</t>
  </si>
  <si>
    <t>ADRIANO AMARAL COSTA</t>
  </si>
  <si>
    <t>ENCARREGADO</t>
  </si>
  <si>
    <t>ADRIANO BORGES DO NASCIMENTO</t>
  </si>
  <si>
    <t>TECNICO DE PROCESSO</t>
  </si>
  <si>
    <t>AEDSON DOS SANTOS SENA</t>
  </si>
  <si>
    <t>AREA</t>
  </si>
  <si>
    <t>FUNÇÃO</t>
  </si>
  <si>
    <t>MATRICULA SAP</t>
  </si>
  <si>
    <t>RG</t>
  </si>
  <si>
    <t>ESCALA /TURNO</t>
  </si>
  <si>
    <t>GHE</t>
  </si>
  <si>
    <t>PERIODICIDADE</t>
  </si>
  <si>
    <t>UNIDADE</t>
  </si>
  <si>
    <t>ÚLTIMO EXAME</t>
  </si>
  <si>
    <t>PRÓXIMO EXAME</t>
  </si>
  <si>
    <t>DIAS</t>
  </si>
  <si>
    <t>VENCIMENTO</t>
  </si>
  <si>
    <t>meses</t>
  </si>
  <si>
    <t>ADM</t>
  </si>
  <si>
    <t>5700061431-14</t>
  </si>
  <si>
    <t>5700061431.09</t>
  </si>
  <si>
    <t>5700061431-01</t>
  </si>
  <si>
    <t xml:space="preserve">TURNO 3X3 I </t>
  </si>
  <si>
    <t>5700061431-02</t>
  </si>
  <si>
    <t>5700061431-03</t>
  </si>
  <si>
    <t>5700061431-13</t>
  </si>
  <si>
    <t>5700061431-05</t>
  </si>
  <si>
    <t>5700061431-04</t>
  </si>
  <si>
    <t>5700061431-06</t>
  </si>
  <si>
    <t>NOME</t>
  </si>
  <si>
    <t>3333262</t>
  </si>
  <si>
    <t>0948397942</t>
  </si>
  <si>
    <t>3625016</t>
  </si>
  <si>
    <t>1247141</t>
  </si>
  <si>
    <t>18312537</t>
  </si>
  <si>
    <t>4547606</t>
  </si>
  <si>
    <t>1125908</t>
  </si>
  <si>
    <t>744718</t>
  </si>
  <si>
    <t>1961482</t>
  </si>
  <si>
    <t>3999791</t>
  </si>
  <si>
    <t>96262915591</t>
  </si>
  <si>
    <t>3566317</t>
  </si>
  <si>
    <t>5700061431-07</t>
  </si>
  <si>
    <t>5700061431-08</t>
  </si>
  <si>
    <t>FORMULARIO</t>
  </si>
  <si>
    <t>Data de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</si>
</sst>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&quot;/&quot;mm&quot;/&quot;yyyy"/>
    <numFmt numFmtId="165" formatCode="000&quot;.&quot;00000&quot;.&quot;00&quot;.&quot;0"/>
    <numFmt numFmtId="166" formatCode="000&quot;.&quot;000&quot;.&quot;000&quot;-&quot;00"/>
    <numFmt numFmtId="167" formatCode="dd/mm/yy;@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NumberFormat="0"/>
    <xf numFmtId="0" fontId="2" fillId="2" borderId="0" applyNumberFormat="0" applyBorder="0" applyAlignment="0" applyProtection="0"/>
  </cellStyleXfs>
  <cellXfs count="31">
    <xf numFmtId="0" fontId="0" fillId="0" borderId="0" xfId="0"/>
    <xf numFmtId="0" fontId="3" fillId="3" borderId="2" xfId="0" applyFont="1" applyFill="1" applyBorder="1" applyAlignment="1" applyProtection="1">
      <alignment vertical="center"/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167" fontId="3" fillId="3" borderId="2" xfId="0" applyNumberFormat="1" applyFont="1" applyFill="1" applyBorder="1" applyAlignment="1">
      <alignment vertical="center" wrapText="1"/>
    </xf>
    <xf numFmtId="14" fontId="3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4" fillId="0" borderId="2" xfId="1" applyFont="1" applyFill="1" applyBorder="1" applyAlignment="1" applyProtection="1">
      <alignment horizontal="left"/>
      <protection locked="0"/>
    </xf>
    <xf numFmtId="0" fontId="4" fillId="0" borderId="2" xfId="1" applyFont="1" applyFill="1" applyBorder="1" applyAlignment="1" applyProtection="1">
      <protection locked="0"/>
    </xf>
    <xf numFmtId="166" fontId="4" fillId="0" borderId="3" xfId="1" applyNumberFormat="1" applyFont="1" applyFill="1" applyBorder="1" applyAlignment="1" applyProtection="1">
      <alignment horizontal="center"/>
      <protection locked="0"/>
    </xf>
    <xf numFmtId="0" fontId="4" fillId="0" borderId="3" xfId="1" applyFont="1" applyFill="1" applyBorder="1" applyAlignment="1" applyProtection="1">
      <alignment horizontal="center"/>
      <protection locked="0"/>
    </xf>
    <xf numFmtId="165" fontId="4" fillId="0" borderId="3" xfId="1" applyNumberFormat="1" applyFont="1" applyFill="1" applyBorder="1" applyAlignment="1" applyProtection="1">
      <alignment horizontal="center"/>
      <protection locked="0"/>
    </xf>
    <xf numFmtId="164" fontId="4" fillId="0" borderId="3" xfId="1" applyNumberFormat="1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left" vertical="center"/>
      <protection locked="0"/>
    </xf>
    <xf numFmtId="167" fontId="4" fillId="4" borderId="2" xfId="0" applyNumberFormat="1" applyFont="1" applyFill="1" applyBorder="1" applyAlignment="1">
      <alignment horizontal="center" vertical="center"/>
    </xf>
    <xf numFmtId="167" fontId="4" fillId="4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1" xfId="1" applyFont="1" applyFill="1" applyBorder="1" applyAlignment="1" applyProtection="1">
      <alignment horizontal="center"/>
      <protection locked="0"/>
    </xf>
    <xf numFmtId="0" fontId="4" fillId="0" borderId="4" xfId="1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2" xfId="0" applyFont="1" applyBorder="1" applyAlignment="1" applyProtection="1">
      <alignment horizontal="center"/>
      <protection locked="0"/>
    </xf>
    <xf numFmtId="0" fontId="4" fillId="4" borderId="2" xfId="1" applyFont="1" applyFill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1" fillId="0" borderId="2" xfId="0" applyFont="1" applyBorder="1" applyProtection="1">
      <protection locked="0"/>
    </xf>
    <xf numFmtId="0" fontId="1" fillId="0" borderId="2" xfId="0" applyFont="1" applyBorder="1" applyAlignment="1" applyProtection="1">
      <alignment horizontal="center"/>
      <protection locked="0"/>
    </xf>
    <xf numFmtId="167" fontId="1" fillId="0" borderId="2" xfId="0" applyNumberFormat="1" applyFont="1" applyBorder="1"/>
    <xf numFmtId="164" fontId="4" fillId="0" borderId="2" xfId="0" applyNumberFormat="1" applyFont="1" applyBorder="1" applyAlignment="1">
      <alignment horizontal="center"/>
    </xf>
    <xf numFmtId="0" fontId="4" fillId="0" borderId="2" xfId="1" applyFont="1" applyFill="1" applyBorder="1" applyAlignment="1" applyProtection="1">
      <alignment horizontal="center"/>
      <protection locked="0"/>
    </xf>
    <xf numFmtId="0" fontId="4" fillId="4" borderId="2" xfId="1" applyFont="1" applyFill="1" applyBorder="1" applyAlignment="1" applyProtection="1">
      <alignment horizontal="center"/>
      <protection locked="0"/>
    </xf>
  </cellXfs>
  <cellStyles count="2">
    <cellStyle name="Bom" xfId="1" builtinId="26"/>
    <cellStyle name="Normal" xfId="0" builtinId="0"/>
  </cellStyles>
  <dxfs count="17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indexed="5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726"/>
  <sheetViews>
    <sheetView tabSelected="1" workbookViewId="0"/>
  </sheetViews>
  <sheetFormatPr defaultRowHeight="15" x14ac:dyDescent="0.25"/>
  <cols>
    <col min="1" max="1" width="44.5703125" style="25" bestFit="1" customWidth="1"/>
    <col min="2" max="2" width="13.28515625" style="25" bestFit="1" customWidth="1"/>
    <col min="3" max="3" width="34.28515625" style="25" bestFit="1" customWidth="1"/>
    <col min="4" max="4" width="26.28515625" style="25" bestFit="1" customWidth="1"/>
    <col min="5" max="5" width="15.7109375" style="25" bestFit="1" customWidth="1"/>
    <col min="6" max="6" width="16.28515625" style="26" bestFit="1" customWidth="1"/>
    <col min="7" max="7" width="13.85546875" style="26" bestFit="1" customWidth="1"/>
    <col min="8" max="8" width="15.7109375" style="26" bestFit="1" customWidth="1"/>
    <col min="9" max="9" width="19" style="26" bestFit="1" customWidth="1"/>
    <col min="10" max="10" width="15.42578125" style="26" bestFit="1" customWidth="1"/>
    <col min="11" max="11" width="14" style="25" bestFit="1" customWidth="1"/>
    <col min="12" max="12" width="15" style="25" bestFit="1" customWidth="1"/>
    <col min="13" max="13" width="9.28515625" style="25" bestFit="1" customWidth="1"/>
    <col min="14" max="14" width="15.140625" style="27" bestFit="1" customWidth="1"/>
    <col min="15" max="15" width="16.7109375" style="25" bestFit="1" customWidth="1"/>
    <col min="16" max="16" width="5.85546875" style="25" bestFit="1" customWidth="1"/>
    <col min="17" max="17" width="18.28515625" style="25" bestFit="1" customWidth="1"/>
  </cols>
  <sheetData>
    <row r="1" spans="1:17" x14ac:dyDescent="0.25">
      <c r="A1" s="1" t="s">
        <v>46</v>
      </c>
      <c r="B1" s="1" t="s">
        <v>61</v>
      </c>
      <c r="C1" s="2" t="s">
        <v>22</v>
      </c>
      <c r="D1" s="2" t="s">
        <v>23</v>
      </c>
      <c r="E1" s="1" t="s">
        <v>24</v>
      </c>
      <c r="F1" s="2" t="s">
        <v>1</v>
      </c>
      <c r="G1" s="2" t="s">
        <v>25</v>
      </c>
      <c r="H1" s="2" t="s">
        <v>0</v>
      </c>
      <c r="I1" s="2" t="s">
        <v>62</v>
      </c>
      <c r="J1" s="2" t="s">
        <v>26</v>
      </c>
      <c r="K1" s="2" t="s">
        <v>27</v>
      </c>
      <c r="L1" s="1" t="s">
        <v>28</v>
      </c>
      <c r="M1" s="1" t="s">
        <v>29</v>
      </c>
      <c r="N1" s="3" t="s">
        <v>30</v>
      </c>
      <c r="O1" s="4" t="s">
        <v>31</v>
      </c>
      <c r="P1" s="5" t="s">
        <v>32</v>
      </c>
      <c r="Q1" s="4" t="s">
        <v>33</v>
      </c>
    </row>
    <row r="2" spans="1:17" x14ac:dyDescent="0.25">
      <c r="A2" s="6" t="s">
        <v>4</v>
      </c>
      <c r="B2" s="29">
        <v>2</v>
      </c>
      <c r="C2" s="6" t="s">
        <v>5</v>
      </c>
      <c r="D2" s="7" t="s">
        <v>2</v>
      </c>
      <c r="E2" s="16">
        <v>70162060</v>
      </c>
      <c r="F2" s="8">
        <v>14197998783</v>
      </c>
      <c r="G2" s="9" t="s">
        <v>47</v>
      </c>
      <c r="H2" s="10">
        <v>13317050542</v>
      </c>
      <c r="I2" s="11">
        <v>33845</v>
      </c>
      <c r="J2" s="17" t="s">
        <v>35</v>
      </c>
      <c r="K2" s="18" t="s">
        <v>42</v>
      </c>
      <c r="L2" s="12">
        <v>6</v>
      </c>
      <c r="M2" s="13" t="s">
        <v>34</v>
      </c>
      <c r="N2" s="14">
        <v>46213</v>
      </c>
      <c r="O2" s="15">
        <f t="shared" ref="O2:O7" si="0">EDATE(N2,L2)</f>
        <v>46397</v>
      </c>
      <c r="P2" s="12">
        <f t="shared" ref="P2:P7" ca="1" si="1">IF(N2="","",O2-TODAY())</f>
        <v>178</v>
      </c>
      <c r="Q2" s="12" t="str">
        <f t="shared" ref="Q2:Q9" ca="1" si="2">IF(P2&gt;=60,"Em dia",IF(P2&lt;=0,"Vencido",IF(P2&lt;=59,"À VENCER","""")))</f>
        <v>Em dia</v>
      </c>
    </row>
    <row r="3" spans="1:17" x14ac:dyDescent="0.25">
      <c r="A3" s="6" t="s">
        <v>8</v>
      </c>
      <c r="B3" s="29">
        <v>1</v>
      </c>
      <c r="C3" s="6" t="s">
        <v>3</v>
      </c>
      <c r="D3" s="7" t="s">
        <v>2</v>
      </c>
      <c r="E3" s="16">
        <v>70162061</v>
      </c>
      <c r="F3" s="23">
        <v>691768501</v>
      </c>
      <c r="G3" s="22" t="s">
        <v>48</v>
      </c>
      <c r="H3" s="24">
        <v>20919663324</v>
      </c>
      <c r="I3" s="28">
        <v>28712</v>
      </c>
      <c r="J3" s="17" t="s">
        <v>35</v>
      </c>
      <c r="K3" s="18" t="s">
        <v>36</v>
      </c>
      <c r="L3" s="12">
        <v>6</v>
      </c>
      <c r="M3" s="13" t="s">
        <v>34</v>
      </c>
      <c r="N3" s="14">
        <v>46210</v>
      </c>
      <c r="O3" s="15">
        <f t="shared" si="0"/>
        <v>46394</v>
      </c>
      <c r="P3" s="12">
        <f t="shared" ca="1" si="1"/>
        <v>175</v>
      </c>
      <c r="Q3" s="12" t="str">
        <f t="shared" ca="1" si="2"/>
        <v>Em dia</v>
      </c>
    </row>
    <row r="4" spans="1:17" x14ac:dyDescent="0.25">
      <c r="A4" s="6" t="s">
        <v>9</v>
      </c>
      <c r="B4" s="29">
        <v>2</v>
      </c>
      <c r="C4" s="6" t="s">
        <v>6</v>
      </c>
      <c r="D4" s="7" t="s">
        <v>10</v>
      </c>
      <c r="E4" s="16">
        <v>70048169</v>
      </c>
      <c r="F4" s="23">
        <v>10904552756</v>
      </c>
      <c r="G4" s="22" t="s">
        <v>49</v>
      </c>
      <c r="H4" s="24">
        <v>21034842473</v>
      </c>
      <c r="I4" s="28">
        <v>35931</v>
      </c>
      <c r="J4" s="17" t="s">
        <v>35</v>
      </c>
      <c r="K4" s="12" t="s">
        <v>37</v>
      </c>
      <c r="L4" s="12">
        <v>6</v>
      </c>
      <c r="M4" s="13" t="s">
        <v>34</v>
      </c>
      <c r="N4" s="14">
        <v>46162</v>
      </c>
      <c r="O4" s="15">
        <f t="shared" si="0"/>
        <v>46346</v>
      </c>
      <c r="P4" s="12">
        <f t="shared" ca="1" si="1"/>
        <v>127</v>
      </c>
      <c r="Q4" s="12" t="str">
        <f t="shared" ca="1" si="2"/>
        <v>Em dia</v>
      </c>
    </row>
    <row r="5" spans="1:17" x14ac:dyDescent="0.25">
      <c r="A5" s="6" t="s">
        <v>12</v>
      </c>
      <c r="B5" s="29">
        <v>1</v>
      </c>
      <c r="C5" s="6" t="s">
        <v>11</v>
      </c>
      <c r="D5" s="7" t="s">
        <v>2</v>
      </c>
      <c r="E5" s="19">
        <v>70131578</v>
      </c>
      <c r="F5" s="23">
        <v>4217345747</v>
      </c>
      <c r="G5" s="22" t="s">
        <v>50</v>
      </c>
      <c r="H5" s="24">
        <v>12497184293</v>
      </c>
      <c r="I5" s="28">
        <v>27341</v>
      </c>
      <c r="J5" s="17" t="s">
        <v>35</v>
      </c>
      <c r="K5" s="20" t="s">
        <v>38</v>
      </c>
      <c r="L5" s="12">
        <v>6</v>
      </c>
      <c r="M5" s="13" t="s">
        <v>34</v>
      </c>
      <c r="N5" s="14">
        <v>46100</v>
      </c>
      <c r="O5" s="15">
        <f t="shared" si="0"/>
        <v>46284</v>
      </c>
      <c r="P5" s="12">
        <f t="shared" ca="1" si="1"/>
        <v>65</v>
      </c>
      <c r="Q5" s="12" t="str">
        <f t="shared" ca="1" si="2"/>
        <v>Em dia</v>
      </c>
    </row>
    <row r="6" spans="1:17" x14ac:dyDescent="0.25">
      <c r="A6" s="6" t="s">
        <v>13</v>
      </c>
      <c r="B6" s="29">
        <v>2</v>
      </c>
      <c r="C6" s="6" t="s">
        <v>7</v>
      </c>
      <c r="D6" s="7" t="s">
        <v>2</v>
      </c>
      <c r="E6" s="16">
        <v>70067974</v>
      </c>
      <c r="F6" s="23">
        <v>17622805742</v>
      </c>
      <c r="G6" s="22" t="s">
        <v>51</v>
      </c>
      <c r="H6" s="24">
        <v>21219742599</v>
      </c>
      <c r="I6" s="28">
        <v>34763</v>
      </c>
      <c r="J6" s="17" t="s">
        <v>35</v>
      </c>
      <c r="K6" s="20" t="s">
        <v>40</v>
      </c>
      <c r="L6" s="12">
        <v>6</v>
      </c>
      <c r="M6" s="13" t="s">
        <v>34</v>
      </c>
      <c r="N6" s="14">
        <v>46149</v>
      </c>
      <c r="O6" s="15">
        <f t="shared" si="0"/>
        <v>46333</v>
      </c>
      <c r="P6" s="12">
        <f t="shared" ca="1" si="1"/>
        <v>114</v>
      </c>
      <c r="Q6" s="12" t="str">
        <f t="shared" ca="1" si="2"/>
        <v>Em dia</v>
      </c>
    </row>
    <row r="7" spans="1:17" x14ac:dyDescent="0.25">
      <c r="A7" s="6" t="s">
        <v>14</v>
      </c>
      <c r="B7" s="29">
        <v>2</v>
      </c>
      <c r="C7" s="6" t="s">
        <v>5</v>
      </c>
      <c r="D7" s="7" t="s">
        <v>2</v>
      </c>
      <c r="E7" s="16">
        <v>70174133</v>
      </c>
      <c r="F7" s="23">
        <v>75031906553</v>
      </c>
      <c r="G7" s="22" t="s">
        <v>52</v>
      </c>
      <c r="H7" s="24">
        <v>17045119478</v>
      </c>
      <c r="I7" s="28">
        <v>27577</v>
      </c>
      <c r="J7" s="17" t="s">
        <v>35</v>
      </c>
      <c r="K7" s="20" t="s">
        <v>41</v>
      </c>
      <c r="L7" s="12">
        <v>6</v>
      </c>
      <c r="M7" s="13" t="s">
        <v>34</v>
      </c>
      <c r="N7" s="14">
        <v>46028</v>
      </c>
      <c r="O7" s="15">
        <f t="shared" si="0"/>
        <v>46209</v>
      </c>
      <c r="P7" s="12">
        <f t="shared" ca="1" si="1"/>
        <v>-10</v>
      </c>
      <c r="Q7" s="12" t="str">
        <f t="shared" ca="1" si="2"/>
        <v>Vencido</v>
      </c>
    </row>
    <row r="8" spans="1:17" x14ac:dyDescent="0.25">
      <c r="A8" s="6" t="s">
        <v>15</v>
      </c>
      <c r="B8" s="29">
        <v>2</v>
      </c>
      <c r="C8" s="6" t="s">
        <v>6</v>
      </c>
      <c r="D8" s="6" t="s">
        <v>10</v>
      </c>
      <c r="E8" s="16">
        <v>70174134</v>
      </c>
      <c r="F8" s="23">
        <v>7220832702</v>
      </c>
      <c r="G8" s="22" t="s">
        <v>53</v>
      </c>
      <c r="H8" s="24">
        <v>20029639012</v>
      </c>
      <c r="I8" s="28">
        <v>28430</v>
      </c>
      <c r="J8" s="17" t="s">
        <v>35</v>
      </c>
      <c r="K8" s="20" t="s">
        <v>44</v>
      </c>
      <c r="L8" s="12">
        <v>6</v>
      </c>
      <c r="M8" s="13" t="s">
        <v>34</v>
      </c>
      <c r="N8" s="14">
        <v>46085</v>
      </c>
      <c r="O8" s="15">
        <f>EDATE(N8,L8)</f>
        <v>46269</v>
      </c>
      <c r="P8" s="12">
        <f ca="1">IF(N8="","",O8-TODAY())</f>
        <v>50</v>
      </c>
      <c r="Q8" s="12" t="str">
        <f t="shared" ca="1" si="2"/>
        <v>À VENCER</v>
      </c>
    </row>
    <row r="9" spans="1:17" x14ac:dyDescent="0.25">
      <c r="A9" s="6" t="s">
        <v>16</v>
      </c>
      <c r="B9" s="29">
        <v>1</v>
      </c>
      <c r="C9" s="6" t="s">
        <v>11</v>
      </c>
      <c r="D9" s="6" t="s">
        <v>2</v>
      </c>
      <c r="E9" s="16">
        <v>70174135</v>
      </c>
      <c r="F9" s="23">
        <v>90409795704</v>
      </c>
      <c r="G9" s="22" t="s">
        <v>54</v>
      </c>
      <c r="H9" s="24">
        <v>12071801794</v>
      </c>
      <c r="I9" s="28">
        <v>23679</v>
      </c>
      <c r="J9" s="17" t="s">
        <v>35</v>
      </c>
      <c r="K9" s="20" t="s">
        <v>43</v>
      </c>
      <c r="L9" s="12">
        <v>6</v>
      </c>
      <c r="M9" s="13" t="s">
        <v>34</v>
      </c>
      <c r="N9" s="14">
        <v>46151</v>
      </c>
      <c r="O9" s="15">
        <f>EDATE(N9,L9)</f>
        <v>46335</v>
      </c>
      <c r="P9" s="12">
        <f ca="1">IF(N9="","",O9-TODAY())</f>
        <v>116</v>
      </c>
      <c r="Q9" s="12" t="str">
        <f t="shared" ca="1" si="2"/>
        <v>Em dia</v>
      </c>
    </row>
    <row r="10" spans="1:17" x14ac:dyDescent="0.25">
      <c r="A10" s="6" t="s">
        <v>17</v>
      </c>
      <c r="B10" s="29">
        <v>2</v>
      </c>
      <c r="C10" s="6" t="s">
        <v>7</v>
      </c>
      <c r="D10" s="7" t="s">
        <v>18</v>
      </c>
      <c r="E10" s="16">
        <v>70007585</v>
      </c>
      <c r="F10" s="23">
        <v>11226751784</v>
      </c>
      <c r="G10" s="22" t="s">
        <v>55</v>
      </c>
      <c r="H10" s="24">
        <v>13051427291</v>
      </c>
      <c r="I10" s="28">
        <v>30833</v>
      </c>
      <c r="J10" s="17" t="s">
        <v>39</v>
      </c>
      <c r="K10" s="20" t="s">
        <v>45</v>
      </c>
      <c r="L10" s="12">
        <v>6</v>
      </c>
      <c r="M10" s="13" t="s">
        <v>34</v>
      </c>
      <c r="N10" s="14">
        <v>46106</v>
      </c>
      <c r="O10" s="15">
        <f t="shared" ref="O10:O12" si="3">EDATE(N10,L10)</f>
        <v>46290</v>
      </c>
      <c r="P10" s="12">
        <f t="shared" ref="P10:P12" ca="1" si="4">IF(N10="","",O10-TODAY())</f>
        <v>71</v>
      </c>
      <c r="Q10" s="12" t="str">
        <f t="shared" ref="Q10:Q12" ca="1" si="5">IF(P10&gt;=60,"Em dia",IF(P10&lt;=0,"Vencido",IF(P10&lt;=59,"À VENCER","""")))</f>
        <v>Em dia</v>
      </c>
    </row>
    <row r="11" spans="1:17" x14ac:dyDescent="0.25">
      <c r="A11" s="21" t="s">
        <v>19</v>
      </c>
      <c r="B11" s="30">
        <v>2</v>
      </c>
      <c r="C11" s="6" t="s">
        <v>6</v>
      </c>
      <c r="D11" s="7" t="s">
        <v>20</v>
      </c>
      <c r="E11" s="16">
        <v>70138654</v>
      </c>
      <c r="F11" s="23">
        <v>18496370755</v>
      </c>
      <c r="G11" s="22" t="s">
        <v>56</v>
      </c>
      <c r="H11" s="24">
        <v>16113266517</v>
      </c>
      <c r="I11" s="28">
        <v>37087</v>
      </c>
      <c r="J11" s="17" t="s">
        <v>35</v>
      </c>
      <c r="K11" s="20" t="s">
        <v>59</v>
      </c>
      <c r="L11" s="12">
        <v>6</v>
      </c>
      <c r="M11" s="13" t="s">
        <v>34</v>
      </c>
      <c r="N11" s="14">
        <v>46135</v>
      </c>
      <c r="O11" s="15">
        <f t="shared" si="3"/>
        <v>46318</v>
      </c>
      <c r="P11" s="12">
        <f t="shared" ca="1" si="4"/>
        <v>99</v>
      </c>
      <c r="Q11" s="12" t="str">
        <f t="shared" ca="1" si="5"/>
        <v>Em dia</v>
      </c>
    </row>
    <row r="12" spans="1:17" x14ac:dyDescent="0.25">
      <c r="A12" s="6" t="s">
        <v>21</v>
      </c>
      <c r="B12" s="29">
        <v>2</v>
      </c>
      <c r="C12" s="6" t="s">
        <v>5</v>
      </c>
      <c r="D12" s="7" t="s">
        <v>2</v>
      </c>
      <c r="E12" s="16">
        <v>70184637</v>
      </c>
      <c r="F12" s="23">
        <v>96262915591</v>
      </c>
      <c r="G12" s="22" t="s">
        <v>57</v>
      </c>
      <c r="H12" s="24">
        <v>20406170406</v>
      </c>
      <c r="I12" s="28">
        <v>29412</v>
      </c>
      <c r="J12" s="17" t="s">
        <v>35</v>
      </c>
      <c r="K12" s="20" t="s">
        <v>60</v>
      </c>
      <c r="L12" s="12">
        <v>6</v>
      </c>
      <c r="M12" s="13" t="s">
        <v>34</v>
      </c>
      <c r="N12" s="14">
        <v>46188</v>
      </c>
      <c r="O12" s="15">
        <f t="shared" si="3"/>
        <v>46371</v>
      </c>
      <c r="P12" s="12">
        <f t="shared" ca="1" si="4"/>
        <v>152</v>
      </c>
      <c r="Q12" s="12" t="str">
        <f t="shared" ca="1" si="5"/>
        <v>Em dia</v>
      </c>
    </row>
    <row r="1726" spans="7:7" x14ac:dyDescent="0.25">
      <c r="G1726" s="26" t="s">
        <v>58</v>
      </c>
    </row>
  </sheetData>
  <sortState ref="A2:P493">
    <sortCondition ref="A313"/>
  </sortState>
  <conditionalFormatting sqref="J5:J6">
    <cfRule type="cellIs" dxfId="16" priority="101" stopIfTrue="1" operator="equal">
      <formula>"F"</formula>
    </cfRule>
    <cfRule type="cellIs" dxfId="15" priority="102" stopIfTrue="1" operator="equal">
      <formula>"AT"</formula>
    </cfRule>
    <cfRule type="cellIs" dxfId="14" priority="103" stopIfTrue="1" operator="equal">
      <formula>"FA"</formula>
    </cfRule>
  </conditionalFormatting>
  <conditionalFormatting sqref="A3:E3 A2:I2">
    <cfRule type="cellIs" dxfId="13" priority="82" stopIfTrue="1" operator="equal">
      <formula>"AT"</formula>
    </cfRule>
  </conditionalFormatting>
  <conditionalFormatting sqref="A3:E3 A2:I2">
    <cfRule type="cellIs" dxfId="12" priority="83" stopIfTrue="1" operator="equal">
      <formula>"FA"</formula>
    </cfRule>
  </conditionalFormatting>
  <conditionalFormatting sqref="J5:J6 A3:E3 A2:I2">
    <cfRule type="cellIs" dxfId="11" priority="81" stopIfTrue="1" operator="equal">
      <formula>"F"</formula>
    </cfRule>
  </conditionalFormatting>
  <conditionalFormatting sqref="J5:J6">
    <cfRule type="cellIs" dxfId="10" priority="55" stopIfTrue="1" operator="equal">
      <formula>"AT"</formula>
    </cfRule>
    <cfRule type="cellIs" dxfId="9" priority="56" stopIfTrue="1" operator="equal">
      <formula>"FA"</formula>
    </cfRule>
  </conditionalFormatting>
  <conditionalFormatting sqref="Q5:Q12">
    <cfRule type="containsText" dxfId="8" priority="17" operator="containsText" text="Em dia">
      <formula>NOT(ISERROR(SEARCH("Em dia",Q5)))</formula>
    </cfRule>
    <cfRule type="containsText" dxfId="7" priority="18" operator="containsText" text="Vencido">
      <formula>NOT(ISERROR(SEARCH("Vencido",Q5)))</formula>
    </cfRule>
  </conditionalFormatting>
  <conditionalFormatting sqref="Q1:Q4">
    <cfRule type="containsText" dxfId="6" priority="106" operator="containsText" text="Vencido">
      <formula>NOT(ISERROR(SEARCH("Vencido",Q1)))</formula>
    </cfRule>
  </conditionalFormatting>
  <conditionalFormatting sqref="Q1">
    <cfRule type="containsText" dxfId="5" priority="107" operator="containsText" text="À Vencer">
      <formula>NOT(ISERROR(SEARCH("À Vencer",Q1)))</formula>
    </cfRule>
    <cfRule type="containsText" dxfId="4" priority="108" operator="containsText" text="Vencido">
      <formula>NOT(ISERROR(SEARCH("Vencido",Q1)))</formula>
    </cfRule>
    <cfRule type="containsText" dxfId="3" priority="109" operator="containsText" text="Em dia">
      <formula>NOT(ISERROR(SEARCH("Em dia",Q1)))</formula>
    </cfRule>
  </conditionalFormatting>
  <conditionalFormatting sqref="Q5:Q12">
    <cfRule type="containsText" dxfId="2" priority="8" operator="containsText" text="À vencer">
      <formula>NOT(ISERROR(SEARCH("À vencer",Q5)))</formula>
    </cfRule>
  </conditionalFormatting>
  <conditionalFormatting sqref="Q1:Q4">
    <cfRule type="containsText" dxfId="1" priority="19" operator="containsText" text="À vencer">
      <formula>NOT(ISERROR(SEARCH("À vencer",Q1)))</formula>
    </cfRule>
  </conditionalFormatting>
  <conditionalFormatting sqref="Q1:Q4">
    <cfRule type="containsText" dxfId="0" priority="105" operator="containsText" text="Em dia">
      <formula>NOT(ISERROR(SEARCH("Em dia",Q1)))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REDUÇÃO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Enfermagem</dc:creator>
  <cp:lastModifiedBy>Dikma Digital4</cp:lastModifiedBy>
  <dcterms:created xsi:type="dcterms:W3CDTF">2026-07-13T20:51:27Z</dcterms:created>
  <dcterms:modified xsi:type="dcterms:W3CDTF">2026-07-16T14:27:05Z</dcterms:modified>
</cp:coreProperties>
</file>